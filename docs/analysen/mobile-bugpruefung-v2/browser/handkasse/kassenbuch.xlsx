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ssenbuch" sheetId="1" r:id="rId1"/>
  </sheets>
  <calcPr fullCalcOnLoad="1"/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12" customWidth="1"/>
    <col min="3" max="3" width="12" customWidth="1"/>
    <col min="4" max="4" width="30" customWidth="1"/>
    <col min="5" max="5" width="30" customWidth="1"/>
    <col min="6" max="6" width="16" customWidth="1"/>
    <col min="7" max="7" width="13" customWidth="1"/>
    <col min="8" max="8" width="15" customWidth="1"/>
    <col min="9" max="9" width="14" customWidth="1"/>
  </cols>
  <sheetData>
    <row r="1">
      <c r="A1" s="1" t="inlineStr">
        <is>
          <t xml:space="preserve">Kassenbuch / Handkasse</t>
        </is>
      </c>
    </row>
    <row r="2">
      <c r="A2" s="0" t="inlineStr">
        <is>
          <t xml:space="preserve">Stand: 8.9.2026 · Mara Hoffmann</t>
        </is>
      </c>
    </row>
    <row r="4">
      <c r="A4" s="2" t="inlineStr">
        <is>
          <t xml:space="preserve">Nr.</t>
        </is>
      </c>
      <c r="B4" s="2" t="inlineStr">
        <is>
          <t xml:space="preserve">Datum</t>
        </is>
      </c>
      <c r="C4" s="2" t="inlineStr">
        <is>
          <t xml:space="preserve">Art</t>
        </is>
      </c>
      <c r="D4" s="2" t="inlineStr">
        <is>
          <t xml:space="preserve">Empfänger</t>
        </is>
      </c>
      <c r="E4" s="2" t="inlineStr">
        <is>
          <t xml:space="preserve">Verwendungszweck</t>
        </is>
      </c>
      <c r="F4" s="2" t="inlineStr">
        <is>
          <t xml:space="preserve">Kategorie</t>
        </is>
      </c>
      <c r="G4" s="2" t="inlineStr">
        <is>
          <t xml:space="preserve">Betrag (in €)</t>
        </is>
      </c>
      <c r="H4" s="2" t="inlineStr">
        <is>
          <t xml:space="preserve">Intervall</t>
        </is>
      </c>
      <c r="I4" s="2" t="inlineStr">
        <is>
          <t xml:space="preserve">Saldo (in €)</t>
        </is>
      </c>
    </row>
    <row r="5">
      <c r="A5" s="5">
        <v>1</v>
      </c>
      <c r="B5" s="3" t="inlineStr">
        <is>
          <t xml:space="preserve">31.12.2025</t>
        </is>
      </c>
      <c r="C5" s="3" t="inlineStr">
        <is>
          <t xml:space="preserve">Einnahme</t>
        </is>
      </c>
      <c r="D5" s="3" t="inlineStr">
        <is>
          <t xml:space="preserve">Bargeld vom Girokonto</t>
        </is>
      </c>
      <c r="E5" s="3" t="inlineStr">
        <is>
          <t xml:space="preserve">Übertrag Vorjahr</t>
        </is>
      </c>
      <c r="F5" s="3" t="inlineStr">
        <is>
          <t xml:space="preserve">Bargeld</t>
        </is>
      </c>
      <c r="G5" s="4">
        <v>200</v>
      </c>
      <c r="H5" s="3" t="inlineStr">
        <is>
          <t xml:space="preserve">Einmalig</t>
        </is>
      </c>
      <c r="I5" s="4">
        <f>IF(C5="Einnahme",G5,-G5)</f>
        <v>200</v>
      </c>
    </row>
    <row r="6">
      <c r="A6" s="5">
        <v>2</v>
      </c>
      <c r="B6" s="3" t="inlineStr">
        <is>
          <t xml:space="preserve">25.8.2026</t>
        </is>
      </c>
      <c r="C6" s="3" t="inlineStr">
        <is>
          <t xml:space="preserve">Ausgabe</t>
        </is>
      </c>
      <c r="D6" s="3" t="inlineStr">
        <is>
          <t xml:space="preserve">Serienzahlung</t>
        </is>
      </c>
      <c r="E6" s="3" t="inlineStr">
        <is>
          <t xml:space="preserve">Wöchentlicher Barbetrag</t>
        </is>
      </c>
      <c r="F6" s="3" t="inlineStr">
        <is>
          <t xml:space="preserve"/>
        </is>
      </c>
      <c r="G6" s="4">
        <v>5</v>
      </c>
      <c r="H6" s="3" t="inlineStr">
        <is>
          <t xml:space="preserve">Einmalig</t>
        </is>
      </c>
      <c r="I6" s="4">
        <f>I5+IF(C6="Einnahme",G6,-G6)</f>
        <v>195</v>
      </c>
    </row>
    <row r="7">
      <c r="A7" s="5">
        <v>3</v>
      </c>
      <c r="B7" s="3" t="inlineStr">
        <is>
          <t xml:space="preserve">1.9.2026</t>
        </is>
      </c>
      <c r="C7" s="3" t="inlineStr">
        <is>
          <t xml:space="preserve">Ausgabe</t>
        </is>
      </c>
      <c r="D7" s="3" t="inlineStr">
        <is>
          <t xml:space="preserve">Mara Hoffmann</t>
        </is>
      </c>
      <c r="E7" s="3" t="inlineStr">
        <is>
          <t xml:space="preserve">Andere Bearbeiterin</t>
        </is>
      </c>
      <c r="F7" s="3" t="inlineStr">
        <is>
          <t xml:space="preserve">Taschengeld</t>
        </is>
      </c>
      <c r="G7" s="4">
        <v>55.25</v>
      </c>
      <c r="H7" s="3" t="inlineStr">
        <is>
          <t xml:space="preserve">Einmalig</t>
        </is>
      </c>
      <c r="I7" s="4">
        <f>I6+IF(C7="Einnahme",G7,-G7)</f>
        <v>139.75</v>
      </c>
    </row>
    <row r="8">
      <c r="A8" s="5">
        <v>4</v>
      </c>
      <c r="B8" s="3" t="inlineStr">
        <is>
          <t xml:space="preserve">1.9.2026</t>
        </is>
      </c>
      <c r="C8" s="3" t="inlineStr">
        <is>
          <t xml:space="preserve">Ausgabe</t>
        </is>
      </c>
      <c r="D8" s="3" t="inlineStr">
        <is>
          <t xml:space="preserve">Serienzahlung</t>
        </is>
      </c>
      <c r="E8" s="3" t="inlineStr">
        <is>
          <t xml:space="preserve">Wöchentlicher Barbetrag</t>
        </is>
      </c>
      <c r="F8" s="3" t="inlineStr">
        <is>
          <t xml:space="preserve"/>
        </is>
      </c>
      <c r="G8" s="4">
        <v>5</v>
      </c>
      <c r="H8" s="3" t="inlineStr">
        <is>
          <t xml:space="preserve">aus Serie</t>
        </is>
      </c>
      <c r="I8" s="4">
        <f>I7+IF(C8="Einnahme",G8,-G8)</f>
        <v>134.75</v>
      </c>
    </row>
    <row r="9">
      <c r="A9" s="5">
        <v>5</v>
      </c>
      <c r="B9" s="3" t="inlineStr">
        <is>
          <t xml:space="preserve">3.9.2026</t>
        </is>
      </c>
      <c r="C9" s="3" t="inlineStr">
        <is>
          <t xml:space="preserve">Ausgabe</t>
        </is>
      </c>
      <c r="D9" s="3" t="inlineStr">
        <is>
          <t xml:space="preserve">Apotheke</t>
        </is>
      </c>
      <c r="E9" s="3" t="inlineStr">
        <is>
          <t xml:space="preserve">Einkauf für Hausbesuch</t>
        </is>
      </c>
      <c r="F9" s="3" t="inlineStr">
        <is>
          <t xml:space="preserve">Gesundheit</t>
        </is>
      </c>
      <c r="G9" s="4">
        <v>32.4</v>
      </c>
      <c r="H9" s="3" t="inlineStr">
        <is>
          <t xml:space="preserve">Einmalig</t>
        </is>
      </c>
      <c r="I9" s="4">
        <f>I8+IF(C9="Einnahme",G9,-G9)</f>
        <v>102.35</v>
      </c>
    </row>
    <row r="10">
      <c r="A10" s="5">
        <v>6</v>
      </c>
      <c r="B10" s="3" t="inlineStr">
        <is>
          <t xml:space="preserve">4.9.2026</t>
        </is>
      </c>
      <c r="C10" s="3" t="inlineStr">
        <is>
          <t xml:space="preserve">Ausgabe</t>
        </is>
      </c>
      <c r="D10" s="3" t="inlineStr">
        <is>
          <t xml:space="preserve">Gläubiger</t>
        </is>
      </c>
      <c r="E10" s="3" t="inlineStr">
        <is>
          <t xml:space="preserve">Barzahlung aus Schuldenregulierung</t>
        </is>
      </c>
      <c r="F10" s="3" t="inlineStr">
        <is>
          <t xml:space="preserve">Schulden</t>
        </is>
      </c>
      <c r="G10" s="4">
        <v>10</v>
      </c>
      <c r="H10" s="3" t="inlineStr">
        <is>
          <t xml:space="preserve">Einmalig</t>
        </is>
      </c>
      <c r="I10" s="4">
        <f>I9+IF(C10="Einnahme",G10,-G10)</f>
        <v>92.35</v>
      </c>
    </row>
    <row r="11">
      <c r="A11" s="5">
        <v>7</v>
      </c>
      <c r="B11" s="3" t="inlineStr">
        <is>
          <t xml:space="preserve">8.9.2026</t>
        </is>
      </c>
      <c r="C11" s="3" t="inlineStr">
        <is>
          <t xml:space="preserve">Einnahme</t>
        </is>
      </c>
      <c r="D11" s="3" t="inlineStr">
        <is>
          <t xml:space="preserve">Bargeld</t>
        </is>
      </c>
      <c r="E11" s="3" t="inlineStr">
        <is>
          <t xml:space="preserve"/>
        </is>
      </c>
      <c r="F11" s="3" t="inlineStr">
        <is>
          <t xml:space="preserve">Bargeld</t>
        </is>
      </c>
      <c r="G11" s="4">
        <v>20</v>
      </c>
      <c r="H11" s="3" t="inlineStr">
        <is>
          <t xml:space="preserve">Einmalig</t>
        </is>
      </c>
      <c r="I11" s="4">
        <f>I10+IF(C11="Einnahme",G11,-G11)</f>
        <v>112.35</v>
      </c>
    </row>
    <row r="12">
      <c r="A12" s="5">
        <v>8</v>
      </c>
      <c r="B12" s="3" t="inlineStr">
        <is>
          <t xml:space="preserve">8.9.2026</t>
        </is>
      </c>
      <c r="C12" s="3" t="inlineStr">
        <is>
          <t xml:space="preserve">Ausgabe</t>
        </is>
      </c>
      <c r="D12" s="3" t="inlineStr">
        <is>
          <t xml:space="preserve">Serienzahlung</t>
        </is>
      </c>
      <c r="E12" s="3" t="inlineStr">
        <is>
          <t xml:space="preserve">Wöchentlicher Barbetrag</t>
        </is>
      </c>
      <c r="F12" s="3" t="inlineStr">
        <is>
          <t xml:space="preserve"/>
        </is>
      </c>
      <c r="G12" s="4">
        <v>5</v>
      </c>
      <c r="H12" s="3" t="inlineStr">
        <is>
          <t xml:space="preserve">aus Serie</t>
        </is>
      </c>
      <c r="I12" s="4">
        <f>I11+IF(C12="Einnahme",G12,-G12)</f>
        <v>107.35</v>
      </c>
    </row>
    <row r="13">
      <c r="A13" s="6" t="inlineStr">
        <is>
          <t xml:space="preserve"/>
        </is>
      </c>
      <c r="B13" s="6" t="inlineStr">
        <is>
          <t xml:space="preserve"/>
        </is>
      </c>
      <c r="C13" s="6" t="inlineStr">
        <is>
          <t xml:space="preserve"/>
        </is>
      </c>
      <c r="D13" s="6" t="inlineStr">
        <is>
          <t xml:space="preserve"/>
        </is>
      </c>
      <c r="E13" s="6" t="inlineStr">
        <is>
          <t xml:space="preserve"/>
        </is>
      </c>
      <c r="F13" s="6" t="inlineStr">
        <is>
          <t xml:space="preserve">Kassenbestand</t>
        </is>
      </c>
      <c r="G13" s="6" t="inlineStr">
        <is>
          <t xml:space="preserve"/>
        </is>
      </c>
      <c r="H13" s="6" t="inlineStr">
        <is>
          <t xml:space="preserve"/>
        </is>
      </c>
      <c r="I13" s="7">
        <f>SUMIF(C5:C12,"Einnahme",G5:G12)-SUMIF(C5:C12,"Ausgabe",G5:G12)</f>
        <v>107.35</v>
      </c>
    </row>
  </sheetData>
  <dataValidations count="2">
    <dataValidation type="list" allowBlank="1" showInputMessage="1" showErrorMessage="1" sqref="C5:C1000">
      <formula1>"Ausgabe,Einnahme"</formula1>
    </dataValidation>
    <dataValidation type="list" allowBlank="1" showInputMessage="1" showErrorMessage="1" sqref="H5:H1000">
      <formula1>"Einmalig,Wöchentlich,14-tägig,Monatlich,Quartalsweise,Jährlich"</formula1>
    </dataValidation>
  </dataValidations>
</worksheet>
</file>